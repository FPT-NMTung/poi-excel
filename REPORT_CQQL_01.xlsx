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9C7DB51F-15D3-4862-B137-8785943DE9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" sheetId="1" r:id="rId1"/>
    <sheet name="confi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E16" i="1"/>
  <c r="I16" i="1"/>
  <c r="K18" i="1"/>
  <c r="K17" i="1"/>
  <c r="K15" i="1"/>
  <c r="K14" i="1"/>
  <c r="I13" i="1"/>
  <c r="G13" i="1"/>
  <c r="E13" i="1"/>
  <c r="G19" i="1" l="1"/>
  <c r="I19" i="1"/>
  <c r="E19" i="1"/>
  <c r="K13" i="1"/>
  <c r="K16" i="1"/>
  <c r="K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99492E20-52B9-4B29-BC8E-3C2755568F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2" authorId="0" shapeId="0" xr:uid="{C1B04413-4BB5-411E-AB33-512905CD59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3" authorId="0" shapeId="0" xr:uid="{5BF4EA66-5DF0-4EBD-9089-8D6D5FA899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5" authorId="0" shapeId="0" xr:uid="{DAD0B83D-4287-400A-B705-81CF2F862C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5" authorId="0" shapeId="0" xr:uid="{693CB902-4F9D-4CC0-A68C-467F714961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5" authorId="0" shapeId="0" xr:uid="{8BB1EC7F-E964-4B4C-940D-54B80607DD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<sst xmlns="http://schemas.openxmlformats.org/spreadsheetml/2006/main" count="273" uniqueCount="163">
  <si>
    <t>CỘNG HÒA XÃ HỘI CHỦ NGHĨA VIỆT NAM</t>
  </si>
  <si>
    <t>Độc lập - Tự do - Hạnh phúc</t>
  </si>
  <si>
    <t>......., ngày........tháng........năm .......</t>
  </si>
  <si>
    <t>PHẦN I. TÌNH HÌNH ĐÓNG, MỞ TÀI KHOẢN VÀ KHÁCH HÀNG ỦY QUYỀN TRÊN THỊ TRƯỜNG CHỨNG KHOÁN NIÊM YẾT,  ĐĂNG KÝ GIAO DỊCH , CÔNG CỤ NỢ</t>
  </si>
  <si>
    <t xml:space="preserve">I. Tổng hợp </t>
  </si>
  <si>
    <t>STT</t>
  </si>
  <si>
    <t>KHÁCH HÀNG</t>
  </si>
  <si>
    <t>SỐ LƯỢNG TÀI KHOẢN</t>
  </si>
  <si>
    <t>Đầu kỳ</t>
  </si>
  <si>
    <t>Mở trong tháng</t>
  </si>
  <si>
    <t>Đóng trong tháng</t>
  </si>
  <si>
    <t>Cuối kỳ</t>
  </si>
  <si>
    <t>TRONG NƯỚC</t>
  </si>
  <si>
    <t xml:space="preserve">     Cá nhân</t>
  </si>
  <si>
    <t xml:space="preserve">     Tổ chức</t>
  </si>
  <si>
    <t>NƯỚC NGOÀI</t>
  </si>
  <si>
    <t>TỔNG CỘNG</t>
  </si>
  <si>
    <t>II. Danh sách khách hàng mở tài khoản</t>
  </si>
  <si>
    <t>Tên khách hàng</t>
  </si>
  <si>
    <t>Mã TK</t>
  </si>
  <si>
    <t>Số CMND/CCCD/ Hộ chiếu/Giấy ĐKKD</t>
  </si>
  <si>
    <t>Địa chỉ</t>
  </si>
  <si>
    <t>Ngày cấp</t>
  </si>
  <si>
    <t>Nơi cấp</t>
  </si>
  <si>
    <t>Loại hình</t>
  </si>
  <si>
    <t>Ngày mở</t>
  </si>
  <si>
    <t>Ghi chú</t>
  </si>
  <si>
    <t>III. Danh sách khách hàng đóng tài khoản</t>
  </si>
  <si>
    <t>Mã tài khoản</t>
  </si>
  <si>
    <t>Số CMND/CCCD/Hộ chiếu/ Giấy ĐKKD</t>
  </si>
  <si>
    <t>Ngày mở TK</t>
  </si>
  <si>
    <t>Ngày đóng TK</t>
  </si>
  <si>
    <t>Quốc tich</t>
  </si>
  <si>
    <t>IV. Danh sách khách hàng thay đổi thông tin</t>
  </si>
  <si>
    <t>Mã TK cũ</t>
  </si>
  <si>
    <t>Mã TK mới</t>
  </si>
  <si>
    <t>Ngày thay đổi thông tin</t>
  </si>
  <si>
    <t>Thay đổi  thông tin về CMND/ Hộ chiếu/ Giấy ĐKKD</t>
  </si>
  <si>
    <t>Thay đổi thông tin về địa chỉ</t>
  </si>
  <si>
    <t>Thay đổi thông tin về Q.tịch</t>
  </si>
  <si>
    <t>Thay đổi thông tin về Ghi chú</t>
  </si>
  <si>
    <t>Số CMND/ CCCD/Hộ chiếu/ Giấy ĐKKD cũ</t>
  </si>
  <si>
    <t>Số CMND/ Hộ chiếu/ Giấy ĐKKD mới</t>
  </si>
  <si>
    <t>Địa chỉ cũ</t>
  </si>
  <si>
    <t>Địa chỉ mới</t>
  </si>
  <si>
    <t>Quốc tịch cũ</t>
  </si>
  <si>
    <t>Quốc tịch mới</t>
  </si>
  <si>
    <t>Ghi chú cũ</t>
  </si>
  <si>
    <t>Ghi chú mới</t>
  </si>
  <si>
    <t>V. Danh sách khách hàng ủy quyền</t>
  </si>
  <si>
    <t>Tên khách hàng uỷ quyền</t>
  </si>
  <si>
    <t>Số CMND/ CCCD/ Hộ chiếu/ Giấy ĐKKD người UQ</t>
  </si>
  <si>
    <t>Địa chỉ  người UQ</t>
  </si>
  <si>
    <t>Ngày Uỷ quyền</t>
  </si>
  <si>
    <t>Tên người nhận uỷ quyền</t>
  </si>
  <si>
    <t>Số CMND/CCCD/ Hộ chiếu người nhận UQ</t>
  </si>
  <si>
    <t>Địa chỉ người nhận UQ</t>
  </si>
  <si>
    <t>Phạm vi uỷ quyền</t>
  </si>
  <si>
    <t>Thời hạn ủy quyền</t>
  </si>
  <si>
    <t>VI. Danh sách khách hàng chấm dứt, thay đổi nội dung ủy quyền</t>
  </si>
  <si>
    <t>Số CMND/ CCCD/ Hộ chiếu/ Giấy ĐKKD của khách hàng UQ</t>
  </si>
  <si>
    <t>Tên người nhận UQ</t>
  </si>
  <si>
    <t>Ngày chấm dứt Uỷ quyền</t>
  </si>
  <si>
    <t>Ngày thay đổi ND uỷ quyền</t>
  </si>
  <si>
    <t>Thay đổi CMND/ CCCD/ Hộ chiếu người nhận UQ</t>
  </si>
  <si>
    <t>Thay đổi địa chỉ người nhận UQ</t>
  </si>
  <si>
    <t>Thay đổi phạm vi uỷ quyền</t>
  </si>
  <si>
    <t>Thay đổi thời hạn ủy quyền</t>
  </si>
  <si>
    <t>Số CMND/ Hộ chiếu cũ</t>
  </si>
  <si>
    <t>Số CMND/ Hộ chiếu mới</t>
  </si>
  <si>
    <t>Phạm vi uỷ quyền cũ</t>
  </si>
  <si>
    <t>Phạm vi uỷ quyền mới</t>
  </si>
  <si>
    <t>Thời hạn cũ</t>
  </si>
  <si>
    <t>Thời hạn mới</t>
  </si>
  <si>
    <t>Người lập</t>
  </si>
  <si>
    <t>Tổng Giám đốc (Giám đốc)</t>
  </si>
  <si>
    <t>(Ký, ghi rõ họ tên)</t>
  </si>
  <si>
    <t>(Ký, ghi rõ họ tên, đóng dấu)</t>
  </si>
  <si>
    <t>Quốc  tịch</t>
  </si>
  <si>
    <t>CÔNG TY CỔ PHẦN CHỨNG KHOÁN</t>
  </si>
  <si>
    <t>khách hàng ủy quyền tháng.... năm.....</t>
  </si>
  <si>
    <t>QUỐC TẾ HOÀNG GIA</t>
  </si>
  <si>
    <t xml:space="preserve">V/v: Báo cáo tình hình đóng, mở tài khoản và </t>
  </si>
  <si>
    <r>
      <t>Kính gửi</t>
    </r>
    <r>
      <rPr>
        <b/>
        <sz val="14"/>
        <color theme="1"/>
        <rFont val="Times New Roman"/>
        <family val="1"/>
      </rPr>
      <t>:</t>
    </r>
    <r>
      <rPr>
        <sz val="14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SỞ GIAO DỊCH CHỨNG KHOÁN VIỆT NAM</t>
    </r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</si>
  <si>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</si>
  <si>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</si>
  <si>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</si>
  <si>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</si>
  <si>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</si>
  <si>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</si>
  <si>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</si>
  <si>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</si>
  <si>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</si>
  <si>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</si>
  <si>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</si>
  <si>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</si>
  <si>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</si>
  <si>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</si>
  <si>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</si>
  <si>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</si>
  <si>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</si>
  <si>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r>
      <t xml:space="preserve">PHẦN II. TÌNH HÌNH ĐÓNG, MỞ TÀI KHOẢN VÀ KHÁCH HÀNG ỦY QUYỀN TRÊN THỊ TRƯỜNG CHỨNG KHOÁN PHÁI SINH: </t>
    </r>
    <r>
      <rPr>
        <sz val="12"/>
        <color theme="1"/>
        <rFont val="Times New Roman"/>
        <family val="1"/>
      </rPr>
      <t>không phát sinh</t>
    </r>
  </si>
  <si>
    <t>Số:…..........................</t>
  </si>
  <si>
    <t>isHasGeneralData</t>
  </si>
  <si>
    <t>isMergeCell</t>
  </si>
  <si>
    <t>isMultipleSheet</t>
  </si>
  <si>
    <t>begin</t>
  </si>
  <si>
    <t>end</t>
  </si>
  <si>
    <t>name_col</t>
  </si>
  <si>
    <t>index_table_excel</t>
  </si>
  <si>
    <t>range_0</t>
  </si>
  <si>
    <t>range_1</t>
  </si>
  <si>
    <t>&lt;#general.CNTN_DAUKY&gt;</t>
  </si>
  <si>
    <t>&lt;#general.TCTN_DAUKY&gt;</t>
  </si>
  <si>
    <t>&lt;#general.CNNN_DAUKY&gt;</t>
  </si>
  <si>
    <t>&lt;#general.TCNN_DAUKY&gt;</t>
  </si>
  <si>
    <t>&lt;#general.CNTN_MO&gt;</t>
  </si>
  <si>
    <t>&lt;#general.CNTN_DONG&gt;</t>
  </si>
  <si>
    <t>&lt;#general.TCTN_MO&gt;</t>
  </si>
  <si>
    <t>&lt;#general.TCTN_DONG&gt;</t>
  </si>
  <si>
    <t>&lt;#general.CNNN_MO&gt;</t>
  </si>
  <si>
    <t>&lt;#general.TCNN_MO&gt;</t>
  </si>
  <si>
    <t>&lt;#general.CNNN_DONG&gt;</t>
  </si>
  <si>
    <t>&lt;#general.TCNN_DONG&gt;</t>
  </si>
  <si>
    <t>&lt;#table.C_CUSTOMER_NAME&gt;</t>
  </si>
  <si>
    <t>&lt;#table.C_DCTERM_CODE&gt;</t>
  </si>
  <si>
    <t>&lt;#table.C_CARD_ID&gt;</t>
  </si>
  <si>
    <t>&lt;#table.C_CUST_ADDRESS&gt;</t>
  </si>
  <si>
    <t>&lt;#table.C_ISSUE_DATE&gt;</t>
  </si>
  <si>
    <t>&lt;#table.C_ISSUE_PLACE_NAME&gt;</t>
  </si>
  <si>
    <t>&lt;#table.C_CUSTOMER_TYPE&gt;</t>
  </si>
  <si>
    <t>&lt;#table.C_OPEN_DATE&gt;</t>
  </si>
  <si>
    <t>&lt;#table.C_NATIONAL_NAME&gt;</t>
  </si>
  <si>
    <t>&lt;#table.ROW_NUM&gt;</t>
  </si>
  <si>
    <t>&lt;#table.C_CLOSE_DATE&gt;</t>
  </si>
  <si>
    <t>&lt;#table.C_ACTION_TIME&gt;</t>
  </si>
  <si>
    <t>&lt;#table.OLD_C_CUST_ADDRESS&gt;</t>
  </si>
  <si>
    <t>&lt;#table.OLD_C_NATIONAL_NAME&gt;</t>
  </si>
  <si>
    <t>&lt;#table.OLD_C_CARD_ID&gt;</t>
  </si>
  <si>
    <t>&lt;#table.OLD_C_ISSUE_DATE&gt;</t>
  </si>
  <si>
    <t>&lt;#table.OLD_C_ISSUE_PLACE_NAME&gt;</t>
  </si>
  <si>
    <t>A27</t>
  </si>
  <si>
    <t>K27</t>
  </si>
  <si>
    <t>A33</t>
  </si>
  <si>
    <t>L33</t>
  </si>
  <si>
    <t>A40</t>
  </si>
  <si>
    <t>Q40</t>
  </si>
  <si>
    <t>INDEX_TABLE_EXCEL|TABLE_02</t>
  </si>
  <si>
    <t>INDEX_TABLE_EXCEL|TABLE_03</t>
  </si>
  <si>
    <t>INDEX_TABLE_EXCEL|TABLE_04</t>
  </si>
  <si>
    <t>CNTN_DAUKY</t>
  </si>
  <si>
    <t>&lt;#table.AUTH_C_CUSTOMER_NAME&gt;</t>
  </si>
  <si>
    <t>&lt;#table.AUTH_C_DCTERM_CODE&gt;</t>
  </si>
  <si>
    <t>&lt;#table.AUTH_C_CARD_ID&gt;</t>
  </si>
  <si>
    <t>&lt;#table.AUTH_C_CUST_ADDRESS&gt;</t>
  </si>
  <si>
    <t>&lt;#table.C_NOTARIAL_AUTHOR_DATE&gt;</t>
  </si>
  <si>
    <t>&lt;#table.C_EXPIRE_DATE&gt;</t>
  </si>
  <si>
    <t>A47</t>
  </si>
  <si>
    <t>L47</t>
  </si>
  <si>
    <t>INDEX_TABLE_EXCEL|TABLE_05</t>
  </si>
  <si>
    <t>A54</t>
  </si>
  <si>
    <t>P54</t>
  </si>
  <si>
    <t>INDEX_TABLE_EXCEL|TABLE_06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</si>
</sst>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3" formatCode="_(* #,##0.00_);_(* \(#,##0.00\);_(* &quot;-&quot;??_);_(@_)"/>
    <numFmt numFmtId="164" formatCode="_-* #,##0.00\ _₫_-;\-* #,##0.00\ _₫_-;_-* &quot;-&quot;??\ _₫_-;_-@_-"/>
    <numFmt numFmtId="165" formatCode="_-* #,##0_-;\-* #,##0_-;_-* &quot;-&quot;_-;_-@_-"/>
    <numFmt numFmtId="166" formatCode="_-* #,##0.00_-;\-* #,##0.00_-;_-* &quot;-&quot;??_-;_-@_-"/>
    <numFmt numFmtId="167" formatCode="&quot;\&quot;#,##0.00;[Red]&quot;\&quot;&quot;\&quot;&quot;\&quot;&quot;\&quot;&quot;\&quot;&quot;\&quot;\-#,##0.00"/>
    <numFmt numFmtId="168" formatCode="&quot;\&quot;#,##0;[Red]&quot;\&quot;&quot;\&quot;\-#,##0"/>
    <numFmt numFmtId="169" formatCode="_ &quot;\&quot;* #,##0.00_ ;_ &quot;\&quot;* &quot;\&quot;&quot;\&quot;&quot;\&quot;&quot;\&quot;&quot;\&quot;&quot;\&quot;&quot;\&quot;&quot;\&quot;&quot;\&quot;\-#,##0.00_ ;_ &quot;\&quot;* &quot;-&quot;??_ ;_ @_ "/>
    <numFmt numFmtId="170" formatCode="#,##0\ &quot;$&quot;_);[Red]\(#,##0\ &quot;$&quot;\)"/>
    <numFmt numFmtId="171" formatCode="&quot;$&quot;###,0&quot;.&quot;00_);[Red]\(&quot;$&quot;###,0&quot;.&quot;00\)"/>
    <numFmt numFmtId="172" formatCode="#,##0\ &quot;$&quot;_);\(#,##0\ &quot;$&quot;\)"/>
    <numFmt numFmtId="173" formatCode="#,##0;[Red]#,##0"/>
    <numFmt numFmtId="174" formatCode="&quot;\&quot;#,##0.00;[Red]&quot;\&quot;\-#,##0.00"/>
    <numFmt numFmtId="175" formatCode="&quot;\&quot;#,##0;[Red]&quot;\&quot;\-#,##0"/>
    <numFmt numFmtId="176" formatCode="_-&quot;$&quot;* #,##0_-;\-&quot;$&quot;* #,##0_-;_-&quot;$&quot;* &quot;-&quot;_-;_-@_-"/>
    <numFmt numFmtId="177" formatCode="_-&quot;$&quot;* #,##0.00_-;\-&quot;$&quot;* #,##0.00_-;_-&quot;$&quot;* &quot;-&quot;??_-;_-@_-"/>
  </numFmts>
  <fonts count="6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VnBravo Times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4.05"/>
      <color indexed="8"/>
      <name val=".VnSouthernH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2"/>
      <name val="Times New Roman"/>
      <family val="1"/>
    </font>
    <font>
      <u/>
      <sz val="11"/>
      <color theme="10"/>
      <name val="Arial"/>
      <family val="2"/>
    </font>
    <font>
      <sz val="11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4"/>
      <name val="??"/>
      <family val="3"/>
      <charset val="129"/>
    </font>
    <font>
      <sz val="10"/>
      <name val="???"/>
      <family val="3"/>
      <charset val="129"/>
    </font>
    <font>
      <sz val="14"/>
      <name val="VnTime"/>
    </font>
    <font>
      <sz val="12"/>
      <name val="VNI-Times"/>
    </font>
    <font>
      <b/>
      <sz val="12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13"/>
      <name val=".VnTime"/>
      <family val="2"/>
    </font>
    <font>
      <sz val="14"/>
      <name val="VnTime"/>
      <family val="2"/>
    </font>
    <font>
      <sz val="10"/>
      <name val=" "/>
      <family val="1"/>
      <charset val="136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9"/>
      <name val="Arial"/>
      <family val="2"/>
    </font>
    <font>
      <sz val="12"/>
      <name val="新細明體"/>
      <charset val="136"/>
    </font>
    <font>
      <sz val="12"/>
      <name val="Courier"/>
      <family val="3"/>
    </font>
    <font>
      <b/>
      <sz val="10"/>
      <color rgb="FFFF0000"/>
      <name val="Times New Roman"/>
      <family val="1"/>
    </font>
    <font>
      <sz val="10"/>
      <color indexed="8"/>
      <name val="Arial"/>
      <family val="2"/>
    </font>
    <font>
      <u/>
      <sz val="11"/>
      <color theme="10"/>
      <name val="Times New Roman"/>
      <family val="2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Times New Roman"/>
      <family val="1"/>
    </font>
    <font>
      <sz val="10"/>
      <name val="Times New Roman"/>
      <family val="1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80">
    <xf numFmtId="0" fontId="0" fillId="0" borderId="0"/>
    <xf numFmtId="43" fontId="14" fillId="0" borderId="0" applyFont="0" applyFill="0" applyBorder="0" applyAlignment="0" applyProtection="0"/>
    <xf numFmtId="0" fontId="18" fillId="0" borderId="0">
      <alignment vertical="top"/>
    </xf>
    <xf numFmtId="0" fontId="19" fillId="0" borderId="0">
      <alignment vertical="top"/>
    </xf>
    <xf numFmtId="0" fontId="20" fillId="0" borderId="0"/>
    <xf numFmtId="166" fontId="20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1" fillId="0" borderId="0"/>
    <xf numFmtId="0" fontId="14" fillId="0" borderId="0"/>
    <xf numFmtId="0" fontId="22" fillId="0" borderId="0"/>
    <xf numFmtId="0" fontId="23" fillId="0" borderId="0"/>
    <xf numFmtId="166" fontId="14" fillId="0" borderId="0" applyFont="0" applyFill="0" applyBorder="0" applyAlignment="0" applyProtection="0"/>
    <xf numFmtId="0" fontId="14" fillId="0" borderId="0"/>
    <xf numFmtId="0" fontId="24" fillId="0" borderId="0"/>
    <xf numFmtId="166" fontId="25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4" fillId="0" borderId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top"/>
    </xf>
    <xf numFmtId="9" fontId="23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4" fillId="0" borderId="0"/>
    <xf numFmtId="0" fontId="26" fillId="0" borderId="0" applyNumberFormat="0" applyFill="0" applyBorder="0" applyAlignment="0" applyProtection="0"/>
    <xf numFmtId="0" fontId="14" fillId="0" borderId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4" fillId="0" borderId="0"/>
    <xf numFmtId="0" fontId="14" fillId="0" borderId="0"/>
    <xf numFmtId="0" fontId="27" fillId="0" borderId="0">
      <alignment vertical="top"/>
    </xf>
    <xf numFmtId="166" fontId="1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0" fontId="14" fillId="0" borderId="0"/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30" fillId="0" borderId="0"/>
    <xf numFmtId="0" fontId="14" fillId="0" borderId="0"/>
    <xf numFmtId="164" fontId="1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32" fillId="0" borderId="0" applyFont="0" applyFill="0" applyBorder="0" applyAlignment="0" applyProtection="0"/>
    <xf numFmtId="168" fontId="23" fillId="0" borderId="0" applyFont="0" applyFill="0" applyBorder="0" applyAlignment="0" applyProtection="0"/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10" fontId="23" fillId="0" borderId="0" applyFont="0" applyFill="0" applyBorder="0" applyAlignment="0" applyProtection="0"/>
    <xf numFmtId="0" fontId="33" fillId="0" borderId="0"/>
    <xf numFmtId="1" fontId="34" fillId="0" borderId="1" applyBorder="0" applyAlignment="0">
      <alignment horizontal="center"/>
    </xf>
    <xf numFmtId="166" fontId="35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0" fillId="0" borderId="0" applyFont="0" applyFill="0" applyBorder="0" applyAlignment="0" applyProtection="0"/>
    <xf numFmtId="3" fontId="23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23" fillId="0" borderId="0" applyFont="0" applyFill="0" applyBorder="0" applyAlignment="0" applyProtection="0"/>
    <xf numFmtId="2" fontId="23" fillId="0" borderId="0" applyFont="0" applyFill="0" applyBorder="0" applyAlignment="0" applyProtection="0"/>
    <xf numFmtId="0" fontId="36" fillId="0" borderId="6" applyNumberFormat="0" applyAlignment="0" applyProtection="0">
      <alignment horizontal="left" vertical="center"/>
    </xf>
    <xf numFmtId="0" fontId="36" fillId="0" borderId="4">
      <alignment horizontal="left" vertical="center"/>
    </xf>
    <xf numFmtId="38" fontId="37" fillId="0" borderId="0" applyFont="0" applyFill="0" applyBorder="0" applyAlignment="0" applyProtection="0"/>
    <xf numFmtId="40" fontId="37" fillId="0" borderId="0" applyFont="0" applyFill="0" applyBorder="0" applyAlignment="0" applyProtection="0"/>
    <xf numFmtId="170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3" fillId="0" borderId="0"/>
    <xf numFmtId="0" fontId="31" fillId="0" borderId="0"/>
    <xf numFmtId="0" fontId="30" fillId="0" borderId="0"/>
    <xf numFmtId="3" fontId="39" fillId="0" borderId="0" applyNumberFormat="0" applyBorder="0" applyAlignment="0" applyProtection="0">
      <alignment horizontal="centerContinuous"/>
      <protection locked="0"/>
    </xf>
    <xf numFmtId="3" fontId="40" fillId="0" borderId="0">
      <protection locked="0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28" fillId="0" borderId="0">
      <alignment vertical="center"/>
    </xf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4" fillId="0" borderId="0"/>
    <xf numFmtId="172" fontId="45" fillId="0" borderId="0" applyFont="0" applyFill="0" applyBorder="0" applyAlignment="0" applyProtection="0"/>
    <xf numFmtId="173" fontId="45" fillId="0" borderId="0" applyFont="0" applyFill="0" applyBorder="0" applyAlignment="0" applyProtection="0"/>
    <xf numFmtId="174" fontId="46" fillId="0" borderId="0" applyFont="0" applyFill="0" applyBorder="0" applyAlignment="0" applyProtection="0"/>
    <xf numFmtId="175" fontId="46" fillId="0" borderId="0" applyFont="0" applyFill="0" applyBorder="0" applyAlignment="0" applyProtection="0"/>
    <xf numFmtId="0" fontId="47" fillId="0" borderId="0"/>
    <xf numFmtId="0" fontId="48" fillId="0" borderId="0" applyProtection="0"/>
    <xf numFmtId="165" fontId="49" fillId="0" borderId="0" applyFont="0" applyFill="0" applyBorder="0" applyAlignment="0" applyProtection="0"/>
    <xf numFmtId="40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6" fontId="50" fillId="0" borderId="0" applyFont="0" applyFill="0" applyBorder="0" applyAlignment="0" applyProtection="0"/>
    <xf numFmtId="177" fontId="49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166" fontId="14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52" fillId="0" borderId="0">
      <alignment vertical="top"/>
    </xf>
    <xf numFmtId="166" fontId="1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top"/>
    </xf>
    <xf numFmtId="166" fontId="14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166" fontId="35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54" fillId="0" borderId="0"/>
  </cellStyleXfs>
  <cellXfs count="83">
    <xf numFmtId="0" fontId="0" fillId="0" borderId="0" xfId="0"/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/>
    <xf numFmtId="0" fontId="12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1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2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7" fontId="12" fillId="0" borderId="1" xfId="0" quotePrefix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5" fillId="3" borderId="1" xfId="179" applyFont="1" applyFill="1" applyBorder="1"/>
    <xf numFmtId="0" fontId="55" fillId="0" borderId="1" xfId="179" applyFont="1" applyBorder="1"/>
    <xf numFmtId="0" fontId="55" fillId="0" borderId="0" xfId="179" applyFont="1"/>
    <xf numFmtId="3" fontId="11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3" fontId="59" fillId="0" borderId="3" xfId="1" applyNumberFormat="1" applyFont="1" applyBorder="1" applyAlignment="1">
      <alignment horizontal="right" vertical="center"/>
    </xf>
    <xf numFmtId="0" fontId="59" fillId="0" borderId="1" xfId="0" applyFont="1" applyBorder="1" applyAlignment="1">
      <alignment horizontal="left" vertical="center" wrapText="1"/>
    </xf>
    <xf numFmtId="0" fontId="59" fillId="0" borderId="1" xfId="0" applyFont="1" applyBorder="1" applyAlignment="1">
      <alignment horizontal="center" vertical="center" wrapText="1"/>
    </xf>
    <xf numFmtId="49" fontId="59" fillId="0" borderId="1" xfId="0" applyNumberFormat="1" applyFont="1" applyBorder="1" applyAlignment="1">
      <alignment horizontal="left" vertical="center" wrapText="1"/>
    </xf>
    <xf numFmtId="49" fontId="59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wrapText="1"/>
    </xf>
    <xf numFmtId="49" fontId="13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3" fontId="59" fillId="0" borderId="1" xfId="0" applyNumberFormat="1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60" fillId="0" borderId="1" xfId="178" applyFont="1" applyBorder="1" applyAlignment="1">
      <alignment horizontal="center" vertical="center" wrapText="1"/>
    </xf>
    <xf numFmtId="0" fontId="61" fillId="0" borderId="0" xfId="0" applyFont="1"/>
    <xf numFmtId="0" fontId="62" fillId="0" borderId="0" xfId="0" applyFont="1"/>
    <xf numFmtId="3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12" fillId="0" borderId="1" xfId="0" quotePrefix="1" applyNumberFormat="1" applyFont="1" applyBorder="1" applyAlignment="1">
      <alignment horizontal="center" vertical="center"/>
    </xf>
    <xf numFmtId="49" fontId="13" fillId="0" borderId="0" xfId="0" applyNumberFormat="1" applyFont="1"/>
    <xf numFmtId="49" fontId="0" fillId="0" borderId="0" xfId="0" applyNumberFormat="1"/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51" fillId="0" borderId="7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3" fontId="58" fillId="0" borderId="3" xfId="1" applyNumberFormat="1" applyFont="1" applyBorder="1" applyAlignment="1">
      <alignment horizontal="right" vertical="center"/>
    </xf>
    <xf numFmtId="3" fontId="58" fillId="0" borderId="5" xfId="1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</cellXfs>
  <cellStyles count="180">
    <cellStyle name="??" xfId="72" xr:uid="{00000000-0005-0000-0000-000000000000}"/>
    <cellStyle name="?? [0.00]_PRODUCT DETAIL Q1" xfId="73" xr:uid="{00000000-0005-0000-0000-000001000000}"/>
    <cellStyle name="?? [0]" xfId="74" xr:uid="{00000000-0005-0000-0000-000002000000}"/>
    <cellStyle name="???? [0.00]_PRODUCT DETAIL Q1" xfId="75" xr:uid="{00000000-0005-0000-0000-000003000000}"/>
    <cellStyle name="????_PRODUCT DETAIL Q1" xfId="76" xr:uid="{00000000-0005-0000-0000-000004000000}"/>
    <cellStyle name="???_HOBONG" xfId="77" xr:uid="{00000000-0005-0000-0000-000005000000}"/>
    <cellStyle name="??_(????)??????" xfId="78" xr:uid="{00000000-0005-0000-0000-000006000000}"/>
    <cellStyle name="0" xfId="79" xr:uid="{00000000-0005-0000-0000-000007000000}"/>
    <cellStyle name="Comma" xfId="1" builtinId="3"/>
    <cellStyle name="Comma 10" xfId="161" xr:uid="{00000000-0005-0000-0000-0000D0000000}"/>
    <cellStyle name="Comma 2" xfId="5" xr:uid="{00000000-0005-0000-0000-000001000000}"/>
    <cellStyle name="Comma 2 2" xfId="28" xr:uid="{00000000-0005-0000-0000-000002000000}"/>
    <cellStyle name="Comma 2 2 2" xfId="48" xr:uid="{00000000-0005-0000-0000-000003000000}"/>
    <cellStyle name="Comma 2 2 2 2" xfId="61" xr:uid="{00000000-0005-0000-0000-000003000000}"/>
    <cellStyle name="Comma 2 2 2 3" xfId="80" xr:uid="{00000000-0005-0000-0000-00000B000000}"/>
    <cellStyle name="Comma 2 2 2 4" xfId="156" xr:uid="{00000000-0005-0000-0000-000003000000}"/>
    <cellStyle name="Comma 2 2 2 5" xfId="168" xr:uid="{00000000-0005-0000-0000-000003000000}"/>
    <cellStyle name="Comma 2 2 2 6" xfId="171" xr:uid="{00000000-0005-0000-0000-00000B000000}"/>
    <cellStyle name="Comma 2 2 3" xfId="57" xr:uid="{00000000-0005-0000-0000-000002000000}"/>
    <cellStyle name="Comma 2 2 4" xfId="63" xr:uid="{00000000-0005-0000-0000-00000A000000}"/>
    <cellStyle name="Comma 2 2 5" xfId="152" xr:uid="{00000000-0005-0000-0000-000002000000}"/>
    <cellStyle name="Comma 2 2 6" xfId="164" xr:uid="{00000000-0005-0000-0000-000002000000}"/>
    <cellStyle name="Comma 2 3" xfId="14" xr:uid="{00000000-0005-0000-0000-000004000000}"/>
    <cellStyle name="Comma 2 3 2" xfId="55" xr:uid="{00000000-0005-0000-0000-000004000000}"/>
    <cellStyle name="Comma 2 3 2 2" xfId="146" xr:uid="{00000000-0005-0000-0000-00000D000000}"/>
    <cellStyle name="Comma 2 3 2 3" xfId="176" xr:uid="{00000000-0005-0000-0000-00000D000000}"/>
    <cellStyle name="Comma 2 3 3" xfId="81" xr:uid="{00000000-0005-0000-0000-00000C000000}"/>
    <cellStyle name="Comma 2 3 4" xfId="150" xr:uid="{00000000-0005-0000-0000-000004000000}"/>
    <cellStyle name="Comma 2 3 5" xfId="162" xr:uid="{00000000-0005-0000-0000-000004000000}"/>
    <cellStyle name="Comma 2 3 6" xfId="172" xr:uid="{00000000-0005-0000-0000-00000C000000}"/>
    <cellStyle name="Comma 2 4" xfId="71" xr:uid="{00000000-0005-0000-0000-00000E000000}"/>
    <cellStyle name="Comma 2 4 2" xfId="145" xr:uid="{00000000-0005-0000-0000-00000F000000}"/>
    <cellStyle name="Comma 2 5" xfId="158" xr:uid="{00000000-0005-0000-0000-000001000000}"/>
    <cellStyle name="Comma 3" xfId="6" xr:uid="{00000000-0005-0000-0000-000005000000}"/>
    <cellStyle name="Comma 3 2" xfId="15" xr:uid="{00000000-0005-0000-0000-000006000000}"/>
    <cellStyle name="Comma 3 2 2" xfId="56" xr:uid="{00000000-0005-0000-0000-000006000000}"/>
    <cellStyle name="Comma 3 2 2 2" xfId="147" xr:uid="{00000000-0005-0000-0000-000012000000}"/>
    <cellStyle name="Comma 3 2 2 3" xfId="177" xr:uid="{00000000-0005-0000-0000-000012000000}"/>
    <cellStyle name="Comma 3 2 3" xfId="82" xr:uid="{00000000-0005-0000-0000-000011000000}"/>
    <cellStyle name="Comma 3 2 4" xfId="151" xr:uid="{00000000-0005-0000-0000-000006000000}"/>
    <cellStyle name="Comma 3 2 5" xfId="163" xr:uid="{00000000-0005-0000-0000-000006000000}"/>
    <cellStyle name="Comma 3 3" xfId="122" xr:uid="{00000000-0005-0000-0000-000013000000}"/>
    <cellStyle name="Comma 3 4" xfId="159" xr:uid="{00000000-0005-0000-0000-000005000000}"/>
    <cellStyle name="Comma 4" xfId="29" xr:uid="{00000000-0005-0000-0000-000007000000}"/>
    <cellStyle name="Comma 4 2" xfId="49" xr:uid="{00000000-0005-0000-0000-000008000000}"/>
    <cellStyle name="Comma 4 2 2" xfId="62" xr:uid="{00000000-0005-0000-0000-000008000000}"/>
    <cellStyle name="Comma 4 2 3" xfId="83" xr:uid="{00000000-0005-0000-0000-000015000000}"/>
    <cellStyle name="Comma 4 2 4" xfId="157" xr:uid="{00000000-0005-0000-0000-000008000000}"/>
    <cellStyle name="Comma 4 2 5" xfId="169" xr:uid="{00000000-0005-0000-0000-000008000000}"/>
    <cellStyle name="Comma 4 2 6" xfId="173" xr:uid="{00000000-0005-0000-0000-000015000000}"/>
    <cellStyle name="Comma 4 3" xfId="58" xr:uid="{00000000-0005-0000-0000-000007000000}"/>
    <cellStyle name="Comma 4 3 2" xfId="126" xr:uid="{00000000-0005-0000-0000-000016000000}"/>
    <cellStyle name="Comma 4 3 3" xfId="175" xr:uid="{00000000-0005-0000-0000-000016000000}"/>
    <cellStyle name="Comma 4 4" xfId="64" xr:uid="{00000000-0005-0000-0000-000014000000}"/>
    <cellStyle name="Comma 4 5" xfId="153" xr:uid="{00000000-0005-0000-0000-000007000000}"/>
    <cellStyle name="Comma 4 6" xfId="165" xr:uid="{00000000-0005-0000-0000-000007000000}"/>
    <cellStyle name="Comma 5" xfId="34" xr:uid="{00000000-0005-0000-0000-000009000000}"/>
    <cellStyle name="Comma 5 2" xfId="60" xr:uid="{00000000-0005-0000-0000-000009000000}"/>
    <cellStyle name="Comma 5 2 2" xfId="84" xr:uid="{00000000-0005-0000-0000-000018000000}"/>
    <cellStyle name="Comma 5 2 3" xfId="174" xr:uid="{00000000-0005-0000-0000-000018000000}"/>
    <cellStyle name="Comma 5 3" xfId="128" xr:uid="{00000000-0005-0000-0000-000019000000}"/>
    <cellStyle name="Comma 5 4" xfId="155" xr:uid="{00000000-0005-0000-0000-000009000000}"/>
    <cellStyle name="Comma 5 5" xfId="167" xr:uid="{00000000-0005-0000-0000-000009000000}"/>
    <cellStyle name="Comma 6" xfId="32" xr:uid="{00000000-0005-0000-0000-00000A000000}"/>
    <cellStyle name="Comma 6 2" xfId="59" xr:uid="{00000000-0005-0000-0000-00000A000000}"/>
    <cellStyle name="Comma 6 3" xfId="154" xr:uid="{00000000-0005-0000-0000-00000A000000}"/>
    <cellStyle name="Comma 6 4" xfId="166" xr:uid="{00000000-0005-0000-0000-00000A000000}"/>
    <cellStyle name="Comma 7" xfId="11" xr:uid="{00000000-0005-0000-0000-000031000000}"/>
    <cellStyle name="Comma 8" xfId="54" xr:uid="{00000000-0005-0000-0000-000063000000}"/>
    <cellStyle name="Comma 9" xfId="149" xr:uid="{00000000-0005-0000-0000-0000C2000000}"/>
    <cellStyle name="Comma0" xfId="85" xr:uid="{00000000-0005-0000-0000-00001A000000}"/>
    <cellStyle name="Currency0" xfId="86" xr:uid="{00000000-0005-0000-0000-00001B000000}"/>
    <cellStyle name="Date" xfId="87" xr:uid="{00000000-0005-0000-0000-00001C000000}"/>
    <cellStyle name="Fixed" xfId="88" xr:uid="{00000000-0005-0000-0000-00001D000000}"/>
    <cellStyle name="Header1" xfId="89" xr:uid="{00000000-0005-0000-0000-00001E000000}"/>
    <cellStyle name="Header2" xfId="90" xr:uid="{00000000-0005-0000-0000-00001F000000}"/>
    <cellStyle name="Hyperlink" xfId="178" builtinId="8"/>
    <cellStyle name="Hyperlink 2" xfId="46" xr:uid="{00000000-0005-0000-0000-00000B000000}"/>
    <cellStyle name="Hyperlink 3" xfId="67" xr:uid="{00000000-0005-0000-0000-000022000000}"/>
    <cellStyle name="Hyperlink 4" xfId="170" xr:uid="{00000000-0005-0000-0000-0000E1000000}"/>
    <cellStyle name="Millares [0]_Well Timing" xfId="91" xr:uid="{00000000-0005-0000-0000-000023000000}"/>
    <cellStyle name="Millares_Well Timing" xfId="92" xr:uid="{00000000-0005-0000-0000-000024000000}"/>
    <cellStyle name="Moneda [0]_Well Timing" xfId="93" xr:uid="{00000000-0005-0000-0000-000025000000}"/>
    <cellStyle name="Moneda_Well Timing" xfId="94" xr:uid="{00000000-0005-0000-0000-000026000000}"/>
    <cellStyle name="n" xfId="95" xr:uid="{00000000-0005-0000-0000-000027000000}"/>
    <cellStyle name="Normal" xfId="0" builtinId="0"/>
    <cellStyle name="Normal 10" xfId="38" xr:uid="{00000000-0005-0000-0000-00000D000000}"/>
    <cellStyle name="Normal 10 2" xfId="131" xr:uid="{00000000-0005-0000-0000-00002A000000}"/>
    <cellStyle name="Normal 11" xfId="40" xr:uid="{00000000-0005-0000-0000-00000E000000}"/>
    <cellStyle name="Normal 11 2" xfId="133" xr:uid="{00000000-0005-0000-0000-00002C000000}"/>
    <cellStyle name="Normal 12" xfId="42" xr:uid="{00000000-0005-0000-0000-00000F000000}"/>
    <cellStyle name="Normal 12 2" xfId="135" xr:uid="{00000000-0005-0000-0000-00002E000000}"/>
    <cellStyle name="Normal 13" xfId="45" xr:uid="{00000000-0005-0000-0000-000010000000}"/>
    <cellStyle name="Normal 13 2" xfId="137" xr:uid="{00000000-0005-0000-0000-000030000000}"/>
    <cellStyle name="Normal 14" xfId="51" xr:uid="{00000000-0005-0000-0000-000011000000}"/>
    <cellStyle name="Normal 14 2" xfId="139" xr:uid="{00000000-0005-0000-0000-000032000000}"/>
    <cellStyle name="Normal 15" xfId="53" xr:uid="{00000000-0005-0000-0000-000062000000}"/>
    <cellStyle name="Normal 15 2" xfId="141" xr:uid="{00000000-0005-0000-0000-000034000000}"/>
    <cellStyle name="Normal 15 3" xfId="65" xr:uid="{00000000-0005-0000-0000-000033000000}"/>
    <cellStyle name="Normal 16" xfId="68" xr:uid="{00000000-0005-0000-0000-000035000000}"/>
    <cellStyle name="Normal 16 2" xfId="143" xr:uid="{00000000-0005-0000-0000-000036000000}"/>
    <cellStyle name="Normal 17" xfId="69" xr:uid="{00000000-0005-0000-0000-000037000000}"/>
    <cellStyle name="Normal 18" xfId="160" xr:uid="{00000000-0005-0000-0000-0000CD000000}"/>
    <cellStyle name="Normal 2" xfId="2" xr:uid="{00000000-0005-0000-0000-00002F000000}"/>
    <cellStyle name="Normal 2 10" xfId="44" xr:uid="{00000000-0005-0000-0000-000013000000}"/>
    <cellStyle name="Normal 2 11" xfId="13" xr:uid="{00000000-0005-0000-0000-000014000000}"/>
    <cellStyle name="Normal 2 11 2" xfId="144" xr:uid="{00000000-0005-0000-0000-00003B000000}"/>
    <cellStyle name="Normal 2 11 3" xfId="70" xr:uid="{00000000-0005-0000-0000-00003A000000}"/>
    <cellStyle name="Normal 2 12" xfId="4" xr:uid="{00000000-0005-0000-0000-000012000000}"/>
    <cellStyle name="Normal 2 13" xfId="179" xr:uid="{AD8F10EB-8047-42F6-9C8A-7C6E8038FAB1}"/>
    <cellStyle name="Normal 2 2" xfId="16" xr:uid="{00000000-0005-0000-0000-000015000000}"/>
    <cellStyle name="Normal 2 3" xfId="17" xr:uid="{00000000-0005-0000-0000-000016000000}"/>
    <cellStyle name="Normal 2 4" xfId="18" xr:uid="{00000000-0005-0000-0000-000017000000}"/>
    <cellStyle name="Normal 2 5" xfId="19" xr:uid="{00000000-0005-0000-0000-000018000000}"/>
    <cellStyle name="Normal 2 6" xfId="20" xr:uid="{00000000-0005-0000-0000-000019000000}"/>
    <cellStyle name="Normal 2 7" xfId="21" xr:uid="{00000000-0005-0000-0000-00001A000000}"/>
    <cellStyle name="Normal 2 8" xfId="22" xr:uid="{00000000-0005-0000-0000-00001B000000}"/>
    <cellStyle name="Normal 2 8 2" xfId="124" xr:uid="{00000000-0005-0000-0000-000043000000}"/>
    <cellStyle name="Normal 2 9" xfId="35" xr:uid="{00000000-0005-0000-0000-00001C000000}"/>
    <cellStyle name="Normal 26 2" xfId="7" xr:uid="{00000000-0005-0000-0000-00001D000000}"/>
    <cellStyle name="Normal 3" xfId="3" xr:uid="{00000000-0005-0000-0000-000030000000}"/>
    <cellStyle name="Normal 3 2" xfId="23" xr:uid="{00000000-0005-0000-0000-00001F000000}"/>
    <cellStyle name="Normal 3 3" xfId="9" xr:uid="{00000000-0005-0000-0000-000020000000}"/>
    <cellStyle name="Normal 3 4" xfId="8" xr:uid="{00000000-0005-0000-0000-00001E000000}"/>
    <cellStyle name="Normal 3 4 2" xfId="148" xr:uid="{00000000-0005-0000-0000-00004A000000}"/>
    <cellStyle name="Normal 3 5" xfId="121" xr:uid="{00000000-0005-0000-0000-00004B000000}"/>
    <cellStyle name="Normal 4" xfId="12" xr:uid="{00000000-0005-0000-0000-000021000000}"/>
    <cellStyle name="Normal 4 10" xfId="96" xr:uid="{00000000-0005-0000-0000-00004D000000}"/>
    <cellStyle name="Normal 4 11" xfId="123" xr:uid="{00000000-0005-0000-0000-00004E000000}"/>
    <cellStyle name="Normal 4 2" xfId="24" xr:uid="{00000000-0005-0000-0000-000022000000}"/>
    <cellStyle name="Normal 4 3" xfId="37" xr:uid="{00000000-0005-0000-0000-000023000000}"/>
    <cellStyle name="Normal 4 3 2" xfId="130" xr:uid="{00000000-0005-0000-0000-000051000000}"/>
    <cellStyle name="Normal 4 4" xfId="39" xr:uid="{00000000-0005-0000-0000-000024000000}"/>
    <cellStyle name="Normal 4 4 2" xfId="132" xr:uid="{00000000-0005-0000-0000-000053000000}"/>
    <cellStyle name="Normal 4 5" xfId="41" xr:uid="{00000000-0005-0000-0000-000025000000}"/>
    <cellStyle name="Normal 4 5 2" xfId="134" xr:uid="{00000000-0005-0000-0000-000055000000}"/>
    <cellStyle name="Normal 4 6" xfId="43" xr:uid="{00000000-0005-0000-0000-000026000000}"/>
    <cellStyle name="Normal 4 6 2" xfId="136" xr:uid="{00000000-0005-0000-0000-000057000000}"/>
    <cellStyle name="Normal 4 7" xfId="47" xr:uid="{00000000-0005-0000-0000-000027000000}"/>
    <cellStyle name="Normal 4 7 2" xfId="138" xr:uid="{00000000-0005-0000-0000-000059000000}"/>
    <cellStyle name="Normal 4 8" xfId="52" xr:uid="{00000000-0005-0000-0000-000028000000}"/>
    <cellStyle name="Normal 4 8 2" xfId="140" xr:uid="{00000000-0005-0000-0000-00005B000000}"/>
    <cellStyle name="Normal 4 9" xfId="66" xr:uid="{00000000-0005-0000-0000-00005C000000}"/>
    <cellStyle name="Normal 4 9 2" xfId="142" xr:uid="{00000000-0005-0000-0000-00005D000000}"/>
    <cellStyle name="Normal 5" xfId="25" xr:uid="{00000000-0005-0000-0000-000029000000}"/>
    <cellStyle name="Normal 5 2" xfId="26" xr:uid="{00000000-0005-0000-0000-00002A000000}"/>
    <cellStyle name="Normal 5 3" xfId="97" xr:uid="{00000000-0005-0000-0000-000060000000}"/>
    <cellStyle name="Normal 6" xfId="10" xr:uid="{00000000-0005-0000-0000-00002B000000}"/>
    <cellStyle name="Normal 6 2" xfId="98" xr:uid="{00000000-0005-0000-0000-000062000000}"/>
    <cellStyle name="Normal 7" xfId="27" xr:uid="{00000000-0005-0000-0000-00002C000000}"/>
    <cellStyle name="Normal 7 2" xfId="125" xr:uid="{00000000-0005-0000-0000-000064000000}"/>
    <cellStyle name="Normal 8" xfId="33" xr:uid="{00000000-0005-0000-0000-00002D000000}"/>
    <cellStyle name="Normal 8 2" xfId="127" xr:uid="{00000000-0005-0000-0000-000066000000}"/>
    <cellStyle name="Normal 9" xfId="36" xr:uid="{00000000-0005-0000-0000-00002E000000}"/>
    <cellStyle name="Normal 9 2" xfId="129" xr:uid="{00000000-0005-0000-0000-000068000000}"/>
    <cellStyle name="Percent 2" xfId="30" xr:uid="{00000000-0005-0000-0000-000030000000}"/>
    <cellStyle name="Percent 3" xfId="31" xr:uid="{00000000-0005-0000-0000-000031000000}"/>
    <cellStyle name="Percent 4" xfId="50" xr:uid="{00000000-0005-0000-0000-000032000000}"/>
    <cellStyle name="Vn Time 13" xfId="99" xr:uid="{00000000-0005-0000-0000-00006C000000}"/>
    <cellStyle name="Vn Time 14" xfId="100" xr:uid="{00000000-0005-0000-0000-00006D000000}"/>
    <cellStyle name=" [0.00]_ Att. 1- Cover" xfId="101" xr:uid="{00000000-0005-0000-0000-00006E000000}"/>
    <cellStyle name="_ Att. 1- Cover" xfId="102" xr:uid="{00000000-0005-0000-0000-00006F000000}"/>
    <cellStyle name="?_ Att. 1- Cover" xfId="103" xr:uid="{00000000-0005-0000-0000-000070000000}"/>
    <cellStyle name="똿뗦먛귟 [0.00]_PRODUCT DETAIL Q1" xfId="104" xr:uid="{00000000-0005-0000-0000-000071000000}"/>
    <cellStyle name="똿뗦먛귟_PRODUCT DETAIL Q1" xfId="105" xr:uid="{00000000-0005-0000-0000-000072000000}"/>
    <cellStyle name="믅됞 [0.00]_PRODUCT DETAIL Q1" xfId="106" xr:uid="{00000000-0005-0000-0000-000073000000}"/>
    <cellStyle name="믅됞_PRODUCT DETAIL Q1" xfId="107" xr:uid="{00000000-0005-0000-0000-000074000000}"/>
    <cellStyle name="백분율_95" xfId="108" xr:uid="{00000000-0005-0000-0000-000075000000}"/>
    <cellStyle name="뷭?_BOOKSHIP" xfId="109" xr:uid="{00000000-0005-0000-0000-000076000000}"/>
    <cellStyle name="콤마 [0]_1202" xfId="110" xr:uid="{00000000-0005-0000-0000-000077000000}"/>
    <cellStyle name="콤마_1202" xfId="111" xr:uid="{00000000-0005-0000-0000-000078000000}"/>
    <cellStyle name="통화 [0]_1202" xfId="112" xr:uid="{00000000-0005-0000-0000-000079000000}"/>
    <cellStyle name="통화_1202" xfId="113" xr:uid="{00000000-0005-0000-0000-00007A000000}"/>
    <cellStyle name="표준_(정보부문)월별인원계획" xfId="114" xr:uid="{00000000-0005-0000-0000-00007B000000}"/>
    <cellStyle name="一般_99Q3647-ALL-CAS2" xfId="115" xr:uid="{00000000-0005-0000-0000-00007C000000}"/>
    <cellStyle name="千分位[0]_Book1" xfId="116" xr:uid="{00000000-0005-0000-0000-00007D000000}"/>
    <cellStyle name="千分位_99Q3647-ALL-CAS2" xfId="117" xr:uid="{00000000-0005-0000-0000-00007E000000}"/>
    <cellStyle name="貨幣 [0]_Book1" xfId="118" xr:uid="{00000000-0005-0000-0000-00007F000000}"/>
    <cellStyle name="貨幣[0]_BRE" xfId="119" xr:uid="{00000000-0005-0000-0000-000080000000}"/>
    <cellStyle name="貨幣_Book1" xfId="120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9"/>
  <sheetViews>
    <sheetView tabSelected="1" zoomScale="85" zoomScaleNormal="85" zoomScaleSheetLayoutView="118" zoomScalePageLayoutView="25" workbookViewId="0">
      <selection activeCell="G21" sqref="G21"/>
    </sheetView>
  </sheetViews>
  <sheetFormatPr defaultRowHeight="15"/>
  <cols>
    <col min="1" max="1" width="7" customWidth="1"/>
    <col min="2" max="2" width="31.85546875" customWidth="1"/>
    <col min="3" max="3" width="16.42578125" customWidth="1"/>
    <col min="4" max="4" width="18.85546875" customWidth="1"/>
    <col min="5" max="5" width="44" customWidth="1"/>
    <col min="6" max="6" width="16.42578125" style="28" customWidth="1"/>
    <col min="7" max="7" width="31" customWidth="1"/>
    <col min="8" max="8" width="24.7109375" customWidth="1"/>
    <col min="9" max="9" width="14.42578125" customWidth="1"/>
    <col min="10" max="10" width="13" customWidth="1"/>
    <col min="11" max="11" width="32.85546875" customWidth="1"/>
    <col min="12" max="12" width="34.42578125" customWidth="1"/>
    <col min="13" max="13" width="33.5703125" customWidth="1"/>
    <col min="14" max="15" width="15.28515625" customWidth="1"/>
    <col min="16" max="17" width="13.5703125" customWidth="1"/>
  </cols>
  <sheetData>
    <row r="1" spans="1:30" ht="15.75" customHeight="1">
      <c r="B1" s="78" t="s">
        <v>79</v>
      </c>
      <c r="C1" s="78"/>
      <c r="D1" s="78"/>
      <c r="E1" s="18"/>
      <c r="F1" s="7"/>
      <c r="K1" s="7" t="s">
        <v>0</v>
      </c>
    </row>
    <row r="2" spans="1:30" ht="16.5">
      <c r="B2" s="78" t="s">
        <v>81</v>
      </c>
      <c r="C2" s="78"/>
      <c r="D2" s="78"/>
      <c r="K2" s="5" t="s">
        <v>1</v>
      </c>
    </row>
    <row r="3" spans="1:30" ht="21.75" customHeight="1">
      <c r="B3" s="79" t="s">
        <v>102</v>
      </c>
      <c r="C3" s="79"/>
      <c r="D3" s="79"/>
      <c r="K3" s="6" t="s">
        <v>2</v>
      </c>
    </row>
    <row r="4" spans="1:30" ht="16.5">
      <c r="B4" s="80" t="s">
        <v>82</v>
      </c>
      <c r="C4" s="80"/>
      <c r="D4" s="80"/>
      <c r="N4" s="16"/>
    </row>
    <row r="5" spans="1:30" ht="15.75">
      <c r="A5" s="23"/>
      <c r="B5" s="80" t="s">
        <v>80</v>
      </c>
      <c r="C5" s="80"/>
      <c r="D5" s="80"/>
      <c r="E5" s="23"/>
      <c r="F5" s="29"/>
      <c r="G5" s="23"/>
    </row>
    <row r="6" spans="1:30" ht="29.25" customHeight="1">
      <c r="A6" s="73" t="s">
        <v>83</v>
      </c>
      <c r="B6" s="73"/>
      <c r="C6" s="73"/>
      <c r="D6" s="73"/>
      <c r="E6" s="73"/>
      <c r="F6" s="73"/>
      <c r="G6" s="73"/>
    </row>
    <row r="7" spans="1:30" ht="19.5">
      <c r="A7" s="19"/>
      <c r="B7" s="19"/>
      <c r="C7" s="19"/>
      <c r="D7" s="19"/>
      <c r="E7" s="19"/>
      <c r="F7" s="19"/>
      <c r="G7" s="19"/>
    </row>
    <row r="8" spans="1:30" ht="18.75">
      <c r="A8" s="18" t="s">
        <v>3</v>
      </c>
      <c r="B8" s="24"/>
      <c r="C8" s="24"/>
      <c r="D8" s="24"/>
      <c r="E8" s="24"/>
      <c r="F8" s="30"/>
      <c r="G8" s="24"/>
    </row>
    <row r="9" spans="1:30">
      <c r="A9" s="74" t="s">
        <v>4</v>
      </c>
      <c r="B9" s="74"/>
      <c r="C9" s="74"/>
      <c r="D9" s="75"/>
      <c r="E9" s="75"/>
      <c r="F9" s="75"/>
      <c r="G9" s="7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>
      <c r="A10" s="74"/>
      <c r="B10" s="74"/>
      <c r="C10" s="74"/>
      <c r="D10" s="75"/>
      <c r="E10" s="75"/>
      <c r="F10" s="75"/>
      <c r="G10" s="7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>
      <c r="A11" s="65" t="s">
        <v>5</v>
      </c>
      <c r="B11" s="65" t="s">
        <v>6</v>
      </c>
      <c r="C11" s="65"/>
      <c r="D11" s="65"/>
      <c r="E11" s="65" t="s">
        <v>7</v>
      </c>
      <c r="F11" s="65"/>
      <c r="G11" s="65"/>
      <c r="H11" s="65"/>
      <c r="I11" s="65"/>
      <c r="J11" s="65"/>
      <c r="K11" s="65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>
      <c r="A12" s="65"/>
      <c r="B12" s="65"/>
      <c r="C12" s="65"/>
      <c r="D12" s="65"/>
      <c r="E12" s="76" t="s">
        <v>8</v>
      </c>
      <c r="F12" s="77"/>
      <c r="G12" s="65" t="s">
        <v>9</v>
      </c>
      <c r="H12" s="65"/>
      <c r="I12" s="65" t="s">
        <v>10</v>
      </c>
      <c r="J12" s="65"/>
      <c r="K12" s="9" t="s">
        <v>11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s="20" customFormat="1">
      <c r="A13" s="17">
        <v>1</v>
      </c>
      <c r="B13" s="82" t="s">
        <v>12</v>
      </c>
      <c r="C13" s="82"/>
      <c r="D13" s="82"/>
      <c r="E13" s="68">
        <f>SUM(E14:F15)</f>
        <v>0</v>
      </c>
      <c r="F13" s="69"/>
      <c r="G13" s="68">
        <f>SUM(G14:H15)</f>
        <v>0</v>
      </c>
      <c r="H13" s="69"/>
      <c r="I13" s="68">
        <f>SUM(I14:J15)</f>
        <v>0</v>
      </c>
      <c r="J13" s="69"/>
      <c r="K13" s="40">
        <f t="shared" ref="K13:K18" si="0">E13+G13-I13</f>
        <v>0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>
      <c r="A14" s="10"/>
      <c r="B14" s="81" t="s">
        <v>13</v>
      </c>
      <c r="C14" s="81"/>
      <c r="D14" s="81"/>
      <c r="E14" s="68" t="s">
        <v>112</v>
      </c>
      <c r="F14" s="69"/>
      <c r="G14" s="68" t="s">
        <v>116</v>
      </c>
      <c r="H14" s="69"/>
      <c r="I14" s="68" t="s">
        <v>117</v>
      </c>
      <c r="J14" s="69"/>
      <c r="K14" s="40" t="e">
        <f t="shared" si="0"/>
        <v>#VALUE!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>
      <c r="A15" s="10"/>
      <c r="B15" s="81" t="s">
        <v>14</v>
      </c>
      <c r="C15" s="81"/>
      <c r="D15" s="81"/>
      <c r="E15" s="68" t="s">
        <v>113</v>
      </c>
      <c r="F15" s="69"/>
      <c r="G15" s="68" t="s">
        <v>118</v>
      </c>
      <c r="H15" s="69"/>
      <c r="I15" s="68" t="s">
        <v>119</v>
      </c>
      <c r="J15" s="69"/>
      <c r="K15" s="40" t="e">
        <f t="shared" si="0"/>
        <v>#VALUE!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s="20" customFormat="1">
      <c r="A16" s="17">
        <v>2</v>
      </c>
      <c r="B16" s="70" t="s">
        <v>15</v>
      </c>
      <c r="C16" s="71"/>
      <c r="D16" s="72"/>
      <c r="E16" s="68">
        <f>SUM(E17:F18)</f>
        <v>0</v>
      </c>
      <c r="F16" s="69"/>
      <c r="G16" s="68">
        <f>SUM(G17:H18)</f>
        <v>0</v>
      </c>
      <c r="H16" s="69"/>
      <c r="I16" s="68">
        <f>SUM(I17:J18)</f>
        <v>0</v>
      </c>
      <c r="J16" s="69"/>
      <c r="K16" s="40">
        <f t="shared" si="0"/>
        <v>0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>
      <c r="A17" s="10"/>
      <c r="B17" s="81" t="s">
        <v>13</v>
      </c>
      <c r="C17" s="81"/>
      <c r="D17" s="81"/>
      <c r="E17" s="68" t="s">
        <v>114</v>
      </c>
      <c r="F17" s="69"/>
      <c r="G17" s="68" t="s">
        <v>120</v>
      </c>
      <c r="H17" s="69"/>
      <c r="I17" s="68" t="s">
        <v>122</v>
      </c>
      <c r="J17" s="69"/>
      <c r="K17" s="40" t="e">
        <f t="shared" si="0"/>
        <v>#VALUE!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>
      <c r="A18" s="10"/>
      <c r="B18" s="81" t="s">
        <v>14</v>
      </c>
      <c r="C18" s="81"/>
      <c r="D18" s="81"/>
      <c r="E18" s="68" t="s">
        <v>115</v>
      </c>
      <c r="F18" s="69"/>
      <c r="G18" s="68" t="s">
        <v>121</v>
      </c>
      <c r="H18" s="69"/>
      <c r="I18" s="68" t="s">
        <v>123</v>
      </c>
      <c r="J18" s="69"/>
      <c r="K18" s="40" t="e">
        <f t="shared" si="0"/>
        <v>#VALUE!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s="20" customFormat="1">
      <c r="A19" s="11"/>
      <c r="B19" s="70" t="s">
        <v>16</v>
      </c>
      <c r="C19" s="71"/>
      <c r="D19" s="72"/>
      <c r="E19" s="68">
        <f>E13+E16</f>
        <v>0</v>
      </c>
      <c r="F19" s="69"/>
      <c r="G19" s="68">
        <f>G13+G16</f>
        <v>0</v>
      </c>
      <c r="H19" s="69"/>
      <c r="I19" s="68">
        <f>I13+I16</f>
        <v>0</v>
      </c>
      <c r="J19" s="69"/>
      <c r="K19" s="40">
        <f>K13+K16</f>
        <v>0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19.5" customHeight="1">
      <c r="A20" s="63"/>
      <c r="B20" s="63"/>
      <c r="C20" s="63"/>
      <c r="D20" s="63"/>
      <c r="E20" s="63"/>
      <c r="F20" s="63"/>
      <c r="G20" s="63"/>
      <c r="H20" s="6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>
      <c r="A21" s="3"/>
      <c r="B21" s="3"/>
      <c r="C21" s="8"/>
      <c r="D21" s="8"/>
      <c r="E21" s="8"/>
      <c r="F21" s="3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>
      <c r="A22" s="4" t="s">
        <v>17</v>
      </c>
      <c r="B22" s="4"/>
      <c r="C22" s="8"/>
      <c r="D22" s="8"/>
      <c r="E22" s="8"/>
      <c r="F22" s="3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>
      <c r="A23" s="3"/>
      <c r="B23" s="3"/>
      <c r="C23" s="8"/>
      <c r="D23" s="8"/>
      <c r="E23" s="8"/>
      <c r="F23" s="31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93.75" customHeight="1">
      <c r="A24" s="65" t="s">
        <v>5</v>
      </c>
      <c r="B24" s="64" t="s">
        <v>18</v>
      </c>
      <c r="C24" s="64" t="s">
        <v>19</v>
      </c>
      <c r="D24" s="64" t="s">
        <v>20</v>
      </c>
      <c r="E24" s="64" t="s">
        <v>21</v>
      </c>
      <c r="F24" s="64" t="s">
        <v>22</v>
      </c>
      <c r="G24" s="64" t="s">
        <v>23</v>
      </c>
      <c r="H24" s="64" t="s">
        <v>24</v>
      </c>
      <c r="I24" s="64" t="s">
        <v>25</v>
      </c>
      <c r="J24" s="64" t="s">
        <v>78</v>
      </c>
      <c r="K24" s="64" t="s">
        <v>26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>
      <c r="A25" s="65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>
      <c r="A26" s="25" t="s">
        <v>84</v>
      </c>
      <c r="B26" s="25" t="s">
        <v>85</v>
      </c>
      <c r="C26" s="25" t="s">
        <v>86</v>
      </c>
      <c r="D26" s="25" t="s">
        <v>87</v>
      </c>
      <c r="E26" s="25" t="s">
        <v>88</v>
      </c>
      <c r="F26" s="25" t="s">
        <v>89</v>
      </c>
      <c r="G26" s="25" t="s">
        <v>90</v>
      </c>
      <c r="H26" s="25" t="s">
        <v>91</v>
      </c>
      <c r="I26" s="25" t="s">
        <v>92</v>
      </c>
      <c r="J26" s="25" t="s">
        <v>93</v>
      </c>
      <c r="K26" s="25" t="s">
        <v>94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s="60" customFormat="1" ht="39" customHeight="1">
      <c r="A27" s="55" t="s">
        <v>133</v>
      </c>
      <c r="B27" s="56" t="s">
        <v>124</v>
      </c>
      <c r="C27" s="56" t="s">
        <v>125</v>
      </c>
      <c r="D27" s="56" t="s">
        <v>126</v>
      </c>
      <c r="E27" s="56" t="s">
        <v>127</v>
      </c>
      <c r="F27" s="57" t="s">
        <v>128</v>
      </c>
      <c r="G27" s="56" t="s">
        <v>129</v>
      </c>
      <c r="H27" s="57" t="s">
        <v>130</v>
      </c>
      <c r="I27" s="56" t="s">
        <v>131</v>
      </c>
      <c r="J27" s="56" t="s">
        <v>132</v>
      </c>
      <c r="K27" s="58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</row>
    <row r="28" spans="1:30">
      <c r="A28" s="32"/>
      <c r="B28" s="3"/>
      <c r="C28" s="8"/>
      <c r="D28" s="8"/>
      <c r="E28" s="8"/>
      <c r="F28" s="3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>
      <c r="A29" s="4" t="s">
        <v>27</v>
      </c>
      <c r="B29" s="4"/>
      <c r="C29" s="8"/>
      <c r="D29" s="8"/>
      <c r="E29" s="8"/>
      <c r="F29" s="3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>
      <c r="A30" s="12"/>
      <c r="B30" s="12"/>
      <c r="C30" s="8"/>
      <c r="D30" s="8"/>
      <c r="E30" s="8"/>
      <c r="F30" s="3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25.5">
      <c r="A31" s="9" t="s">
        <v>5</v>
      </c>
      <c r="B31" s="22" t="s">
        <v>18</v>
      </c>
      <c r="C31" s="22" t="s">
        <v>28</v>
      </c>
      <c r="D31" s="22" t="s">
        <v>29</v>
      </c>
      <c r="E31" s="22" t="s">
        <v>21</v>
      </c>
      <c r="F31" s="22" t="s">
        <v>22</v>
      </c>
      <c r="G31" s="22" t="s">
        <v>23</v>
      </c>
      <c r="H31" s="22" t="s">
        <v>24</v>
      </c>
      <c r="I31" s="22" t="s">
        <v>30</v>
      </c>
      <c r="J31" s="22" t="s">
        <v>31</v>
      </c>
      <c r="K31" s="22" t="s">
        <v>32</v>
      </c>
      <c r="L31" s="22" t="s">
        <v>26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>
      <c r="A32" s="25" t="s">
        <v>84</v>
      </c>
      <c r="B32" s="25" t="s">
        <v>85</v>
      </c>
      <c r="C32" s="25" t="s">
        <v>86</v>
      </c>
      <c r="D32" s="25" t="s">
        <v>87</v>
      </c>
      <c r="E32" s="25" t="s">
        <v>88</v>
      </c>
      <c r="F32" s="25" t="s">
        <v>89</v>
      </c>
      <c r="G32" s="25" t="s">
        <v>90</v>
      </c>
      <c r="H32" s="25" t="s">
        <v>91</v>
      </c>
      <c r="I32" s="25" t="s">
        <v>92</v>
      </c>
      <c r="J32" s="25" t="s">
        <v>93</v>
      </c>
      <c r="K32" s="25" t="s">
        <v>94</v>
      </c>
      <c r="L32" s="25" t="s">
        <v>95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s="60" customFormat="1" ht="54.75" customHeight="1">
      <c r="A33" s="55" t="s">
        <v>133</v>
      </c>
      <c r="B33" s="56" t="s">
        <v>124</v>
      </c>
      <c r="C33" s="56" t="s">
        <v>125</v>
      </c>
      <c r="D33" s="56" t="s">
        <v>126</v>
      </c>
      <c r="E33" s="56" t="s">
        <v>127</v>
      </c>
      <c r="F33" s="57" t="s">
        <v>128</v>
      </c>
      <c r="G33" s="56" t="s">
        <v>129</v>
      </c>
      <c r="H33" s="57" t="s">
        <v>130</v>
      </c>
      <c r="I33" s="56" t="s">
        <v>131</v>
      </c>
      <c r="J33" s="56" t="s">
        <v>134</v>
      </c>
      <c r="K33" s="57" t="s">
        <v>132</v>
      </c>
      <c r="L33" s="57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</row>
    <row r="34" spans="1:30" ht="20.25" customHeight="1">
      <c r="A34" s="2"/>
      <c r="B34" s="2"/>
      <c r="C34" s="8"/>
      <c r="D34" s="8"/>
      <c r="E34" s="8"/>
      <c r="F34" s="3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>
      <c r="A35" s="4" t="s">
        <v>33</v>
      </c>
      <c r="B35" s="4"/>
      <c r="C35" s="8"/>
      <c r="D35" s="8"/>
      <c r="E35" s="8"/>
      <c r="F35" s="3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>
      <c r="A36" s="4"/>
      <c r="B36" s="4"/>
      <c r="C36" s="8"/>
      <c r="D36" s="8"/>
      <c r="E36" s="8"/>
      <c r="F36" s="31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>
      <c r="A37" s="65" t="s">
        <v>5</v>
      </c>
      <c r="B37" s="64" t="s">
        <v>18</v>
      </c>
      <c r="C37" s="64" t="s">
        <v>34</v>
      </c>
      <c r="D37" s="64" t="s">
        <v>35</v>
      </c>
      <c r="E37" s="64" t="s">
        <v>36</v>
      </c>
      <c r="F37" s="65" t="s">
        <v>37</v>
      </c>
      <c r="G37" s="65"/>
      <c r="H37" s="65"/>
      <c r="I37" s="65"/>
      <c r="J37" s="65"/>
      <c r="K37" s="65"/>
      <c r="L37" s="61" t="s">
        <v>38</v>
      </c>
      <c r="M37" s="62"/>
      <c r="N37" s="61" t="s">
        <v>39</v>
      </c>
      <c r="O37" s="62"/>
      <c r="P37" s="65" t="s">
        <v>40</v>
      </c>
      <c r="Q37" s="65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62.45" customHeight="1">
      <c r="A38" s="65"/>
      <c r="B38" s="64"/>
      <c r="C38" s="64"/>
      <c r="D38" s="64"/>
      <c r="E38" s="64"/>
      <c r="F38" s="22" t="s">
        <v>41</v>
      </c>
      <c r="G38" s="22" t="s">
        <v>22</v>
      </c>
      <c r="H38" s="22" t="s">
        <v>23</v>
      </c>
      <c r="I38" s="22" t="s">
        <v>42</v>
      </c>
      <c r="J38" s="22" t="s">
        <v>22</v>
      </c>
      <c r="K38" s="22" t="s">
        <v>23</v>
      </c>
      <c r="L38" s="9" t="s">
        <v>43</v>
      </c>
      <c r="M38" s="9" t="s">
        <v>44</v>
      </c>
      <c r="N38" s="9" t="s">
        <v>45</v>
      </c>
      <c r="O38" s="9" t="s">
        <v>46</v>
      </c>
      <c r="P38" s="9" t="s">
        <v>47</v>
      </c>
      <c r="Q38" s="9" t="s">
        <v>48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>
      <c r="A39" s="25" t="s">
        <v>84</v>
      </c>
      <c r="B39" s="25" t="s">
        <v>85</v>
      </c>
      <c r="C39" s="25" t="s">
        <v>86</v>
      </c>
      <c r="D39" s="25" t="s">
        <v>87</v>
      </c>
      <c r="E39" s="25" t="s">
        <v>88</v>
      </c>
      <c r="F39" s="25" t="s">
        <v>89</v>
      </c>
      <c r="G39" s="25" t="s">
        <v>90</v>
      </c>
      <c r="H39" s="25" t="s">
        <v>91</v>
      </c>
      <c r="I39" s="25" t="s">
        <v>92</v>
      </c>
      <c r="J39" s="25" t="s">
        <v>93</v>
      </c>
      <c r="K39" s="25" t="s">
        <v>94</v>
      </c>
      <c r="L39" s="25" t="s">
        <v>95</v>
      </c>
      <c r="M39" s="25" t="s">
        <v>96</v>
      </c>
      <c r="N39" s="25" t="s">
        <v>97</v>
      </c>
      <c r="O39" s="25" t="s">
        <v>98</v>
      </c>
      <c r="P39" s="25" t="s">
        <v>99</v>
      </c>
      <c r="Q39" s="25" t="s">
        <v>100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s="49" customFormat="1" ht="66" customHeight="1">
      <c r="A40" s="37" t="s">
        <v>133</v>
      </c>
      <c r="B40" s="46" t="s">
        <v>124</v>
      </c>
      <c r="C40" s="46"/>
      <c r="D40" s="45"/>
      <c r="E40" s="45" t="s">
        <v>135</v>
      </c>
      <c r="F40" s="46" t="s">
        <v>138</v>
      </c>
      <c r="G40" s="45" t="s">
        <v>139</v>
      </c>
      <c r="H40" s="46" t="s">
        <v>140</v>
      </c>
      <c r="I40" s="46" t="s">
        <v>126</v>
      </c>
      <c r="J40" s="45" t="s">
        <v>128</v>
      </c>
      <c r="K40" s="46" t="s">
        <v>129</v>
      </c>
      <c r="L40" s="46" t="s">
        <v>136</v>
      </c>
      <c r="M40" s="46" t="s">
        <v>127</v>
      </c>
      <c r="N40" s="45" t="s">
        <v>137</v>
      </c>
      <c r="O40" s="45" t="s">
        <v>132</v>
      </c>
      <c r="P40" s="47"/>
      <c r="Q40" s="47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 ht="33" customHeight="1">
      <c r="A41" s="4"/>
      <c r="B41" s="4"/>
      <c r="C41" s="8"/>
      <c r="D41" s="8"/>
      <c r="E41" s="8"/>
      <c r="F41" s="31"/>
      <c r="G41" s="8"/>
      <c r="H41" s="8"/>
      <c r="I41" s="8"/>
      <c r="J41" s="8"/>
      <c r="K41" s="8"/>
      <c r="L41" s="8"/>
      <c r="M41" s="33"/>
      <c r="N41" s="14"/>
      <c r="O41" s="14"/>
      <c r="P41" s="14"/>
      <c r="Q41" s="14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33" customHeight="1">
      <c r="A42" s="4"/>
      <c r="B42" s="4"/>
      <c r="C42" s="8"/>
      <c r="D42" s="8"/>
      <c r="E42" s="8"/>
      <c r="F42" s="31"/>
      <c r="G42" s="8"/>
      <c r="H42" s="8"/>
      <c r="I42" s="8"/>
      <c r="J42" s="8"/>
      <c r="K42" s="8"/>
      <c r="L42" s="8"/>
      <c r="M42" s="33"/>
      <c r="N42" s="14"/>
      <c r="O42" s="14"/>
      <c r="P42" s="14"/>
      <c r="Q42" s="14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33" customHeight="1">
      <c r="A43" s="4" t="s">
        <v>49</v>
      </c>
      <c r="B43" s="4"/>
      <c r="C43" s="8"/>
      <c r="D43" s="8"/>
      <c r="E43" s="8"/>
      <c r="F43" s="31"/>
      <c r="G43" s="8"/>
      <c r="H43" s="8"/>
      <c r="I43" s="8"/>
      <c r="J43" s="8"/>
      <c r="K43" s="8"/>
      <c r="L43" s="8"/>
      <c r="M43" s="33"/>
      <c r="N43" s="14"/>
      <c r="O43" s="14"/>
      <c r="P43" s="14"/>
      <c r="Q43" s="14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33" customHeight="1">
      <c r="A44" s="4"/>
      <c r="B44" s="4"/>
      <c r="C44" s="8"/>
      <c r="D44" s="8"/>
      <c r="E44" s="8"/>
      <c r="F44" s="31"/>
      <c r="G44" s="8"/>
      <c r="H44" s="8"/>
      <c r="I44" s="8"/>
      <c r="J44" s="8"/>
      <c r="K44" s="8"/>
      <c r="L44" s="8"/>
      <c r="M44" s="33"/>
      <c r="N44" s="14"/>
      <c r="O44" s="14"/>
      <c r="P44" s="14"/>
      <c r="Q44" s="14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38.25">
      <c r="A45" s="9" t="s">
        <v>5</v>
      </c>
      <c r="B45" s="22" t="s">
        <v>50</v>
      </c>
      <c r="C45" s="22" t="s">
        <v>19</v>
      </c>
      <c r="D45" s="22" t="s">
        <v>51</v>
      </c>
      <c r="E45" s="22" t="s">
        <v>52</v>
      </c>
      <c r="F45" s="22" t="s">
        <v>53</v>
      </c>
      <c r="G45" s="22" t="s">
        <v>54</v>
      </c>
      <c r="H45" s="22" t="s">
        <v>55</v>
      </c>
      <c r="I45" s="22" t="s">
        <v>56</v>
      </c>
      <c r="J45" s="22" t="s">
        <v>57</v>
      </c>
      <c r="K45" s="22" t="s">
        <v>58</v>
      </c>
      <c r="L45" s="22" t="s">
        <v>26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>
      <c r="A46" s="25" t="s">
        <v>84</v>
      </c>
      <c r="B46" s="25" t="s">
        <v>85</v>
      </c>
      <c r="C46" s="25" t="s">
        <v>86</v>
      </c>
      <c r="D46" s="25" t="s">
        <v>87</v>
      </c>
      <c r="E46" s="25" t="s">
        <v>88</v>
      </c>
      <c r="F46" s="25" t="s">
        <v>89</v>
      </c>
      <c r="G46" s="25" t="s">
        <v>90</v>
      </c>
      <c r="H46" s="25" t="s">
        <v>91</v>
      </c>
      <c r="I46" s="25" t="s">
        <v>92</v>
      </c>
      <c r="J46" s="25" t="s">
        <v>93</v>
      </c>
      <c r="K46" s="25" t="s">
        <v>94</v>
      </c>
      <c r="L46" s="25" t="s">
        <v>95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s="39" customFormat="1" ht="38.25">
      <c r="A47" s="37" t="s">
        <v>133</v>
      </c>
      <c r="B47" s="43" t="s">
        <v>151</v>
      </c>
      <c r="C47" s="44" t="s">
        <v>152</v>
      </c>
      <c r="D47" s="44" t="s">
        <v>153</v>
      </c>
      <c r="E47" s="44" t="s">
        <v>154</v>
      </c>
      <c r="F47" s="44" t="s">
        <v>155</v>
      </c>
      <c r="G47" s="44" t="s">
        <v>124</v>
      </c>
      <c r="H47" s="44" t="s">
        <v>126</v>
      </c>
      <c r="I47" s="44" t="s">
        <v>127</v>
      </c>
      <c r="J47" s="44"/>
      <c r="K47" s="44" t="s">
        <v>156</v>
      </c>
      <c r="L47" s="44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</row>
    <row r="48" spans="1:30">
      <c r="A48" s="3"/>
      <c r="B48" s="3"/>
      <c r="C48" s="8"/>
      <c r="D48" s="8"/>
      <c r="E48" s="8"/>
      <c r="F48" s="31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s="8" customFormat="1" ht="12.75">
      <c r="A49" s="4" t="s">
        <v>59</v>
      </c>
      <c r="B49" s="4"/>
      <c r="F49" s="31"/>
    </row>
    <row r="50" spans="1:30">
      <c r="A50" s="13"/>
      <c r="B50" s="13"/>
      <c r="C50" s="8"/>
      <c r="D50" s="8"/>
      <c r="E50" s="8"/>
      <c r="F50" s="3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42.6" customHeight="1">
      <c r="A51" s="65" t="s">
        <v>5</v>
      </c>
      <c r="B51" s="64" t="s">
        <v>50</v>
      </c>
      <c r="C51" s="64" t="s">
        <v>19</v>
      </c>
      <c r="D51" s="64" t="s">
        <v>60</v>
      </c>
      <c r="E51" s="64" t="s">
        <v>53</v>
      </c>
      <c r="F51" s="64" t="s">
        <v>61</v>
      </c>
      <c r="G51" s="64" t="s">
        <v>62</v>
      </c>
      <c r="H51" s="64" t="s">
        <v>63</v>
      </c>
      <c r="I51" s="64" t="s">
        <v>64</v>
      </c>
      <c r="J51" s="64"/>
      <c r="K51" s="66" t="s">
        <v>65</v>
      </c>
      <c r="L51" s="67"/>
      <c r="M51" s="66" t="s">
        <v>66</v>
      </c>
      <c r="N51" s="67"/>
      <c r="O51" s="66" t="s">
        <v>67</v>
      </c>
      <c r="P51" s="67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25.5">
      <c r="A52" s="65"/>
      <c r="B52" s="64"/>
      <c r="C52" s="64"/>
      <c r="D52" s="64"/>
      <c r="E52" s="64"/>
      <c r="F52" s="64"/>
      <c r="G52" s="64"/>
      <c r="H52" s="64"/>
      <c r="I52" s="22" t="s">
        <v>68</v>
      </c>
      <c r="J52" s="22" t="s">
        <v>69</v>
      </c>
      <c r="K52" s="22" t="s">
        <v>43</v>
      </c>
      <c r="L52" s="22" t="s">
        <v>44</v>
      </c>
      <c r="M52" s="22" t="s">
        <v>70</v>
      </c>
      <c r="N52" s="22" t="s">
        <v>71</v>
      </c>
      <c r="O52" s="22" t="s">
        <v>72</v>
      </c>
      <c r="P52" s="22" t="s">
        <v>73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>
      <c r="A53" s="25" t="s">
        <v>84</v>
      </c>
      <c r="B53" s="25" t="s">
        <v>85</v>
      </c>
      <c r="C53" s="25" t="s">
        <v>86</v>
      </c>
      <c r="D53" s="25" t="s">
        <v>87</v>
      </c>
      <c r="E53" s="25" t="s">
        <v>88</v>
      </c>
      <c r="F53" s="25" t="s">
        <v>89</v>
      </c>
      <c r="G53" s="25" t="s">
        <v>90</v>
      </c>
      <c r="H53" s="25" t="s">
        <v>91</v>
      </c>
      <c r="I53" s="25" t="s">
        <v>92</v>
      </c>
      <c r="J53" s="25" t="s">
        <v>93</v>
      </c>
      <c r="K53" s="25" t="s">
        <v>94</v>
      </c>
      <c r="L53" s="25" t="s">
        <v>95</v>
      </c>
      <c r="M53" s="25" t="s">
        <v>96</v>
      </c>
      <c r="N53" s="25" t="s">
        <v>97</v>
      </c>
      <c r="O53" s="25" t="s">
        <v>98</v>
      </c>
      <c r="P53" s="25" t="s">
        <v>99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s="53" customFormat="1" ht="38.25">
      <c r="A54" s="50" t="s">
        <v>133</v>
      </c>
      <c r="B54" s="41" t="s">
        <v>151</v>
      </c>
      <c r="C54" s="51" t="s">
        <v>152</v>
      </c>
      <c r="D54" s="51" t="s">
        <v>153</v>
      </c>
      <c r="E54" s="51" t="s">
        <v>155</v>
      </c>
      <c r="F54" s="51" t="s">
        <v>124</v>
      </c>
      <c r="G54" s="51" t="s">
        <v>156</v>
      </c>
      <c r="H54" s="51"/>
      <c r="I54" s="42"/>
      <c r="J54" s="42"/>
      <c r="K54" s="42"/>
      <c r="L54" s="42"/>
      <c r="M54" s="52"/>
      <c r="N54" s="52"/>
      <c r="O54" s="42"/>
      <c r="P54" s="51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>
      <c r="A56" s="3"/>
      <c r="B56" s="3"/>
      <c r="C56" s="8"/>
      <c r="D56" s="8"/>
      <c r="E56" s="8"/>
      <c r="F56" s="31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>
      <c r="A57" s="3"/>
      <c r="B57" s="3"/>
      <c r="C57" s="8"/>
      <c r="D57" s="8"/>
      <c r="E57" s="8"/>
      <c r="F57" s="31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>
      <c r="A58" s="18" t="s">
        <v>101</v>
      </c>
      <c r="B58" s="4"/>
      <c r="C58" s="8"/>
      <c r="D58" s="8"/>
      <c r="E58" s="8"/>
      <c r="F58" s="31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>
      <c r="A59" s="3"/>
      <c r="B59" s="3"/>
      <c r="C59" s="3"/>
      <c r="D59" s="3"/>
      <c r="E59" s="3"/>
      <c r="F59" s="1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>
      <c r="A60" s="15"/>
      <c r="B60" s="15"/>
      <c r="C60" s="15" t="s">
        <v>74</v>
      </c>
      <c r="D60" s="4"/>
      <c r="E60" s="15"/>
      <c r="G60" s="8"/>
      <c r="H60" s="8"/>
      <c r="I60" s="8"/>
      <c r="J60" s="8"/>
      <c r="K60" s="15" t="s">
        <v>75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>
      <c r="A61" s="3"/>
      <c r="B61" s="3"/>
      <c r="C61" s="14" t="s">
        <v>76</v>
      </c>
      <c r="D61" s="3"/>
      <c r="E61" s="3"/>
      <c r="G61" s="8"/>
      <c r="H61" s="8"/>
      <c r="I61" s="8"/>
      <c r="J61" s="8"/>
      <c r="K61" s="14" t="s">
        <v>77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>
      <c r="A62" s="1"/>
      <c r="B62" s="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>
      <c r="A65" s="8"/>
      <c r="B65" s="8"/>
      <c r="C65" s="26"/>
      <c r="D65" s="8"/>
      <c r="E65" s="8"/>
      <c r="F65" s="31"/>
      <c r="G65" s="8"/>
      <c r="H65" s="8"/>
      <c r="I65" s="8"/>
      <c r="J65" s="8"/>
      <c r="K65" s="27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9" spans="1:30" s="8" customFormat="1" ht="26.25" customHeight="1">
      <c r="A69"/>
      <c r="B69"/>
      <c r="C69"/>
      <c r="D69"/>
      <c r="E69"/>
      <c r="F69" s="28"/>
      <c r="G69"/>
      <c r="H69"/>
      <c r="I69"/>
      <c r="J69"/>
      <c r="K69"/>
      <c r="L69"/>
    </row>
  </sheetData>
  <mergeCells count="78">
    <mergeCell ref="E15:F15"/>
    <mergeCell ref="E16:F16"/>
    <mergeCell ref="B16:D16"/>
    <mergeCell ref="B18:D18"/>
    <mergeCell ref="B17:D17"/>
    <mergeCell ref="E17:F17"/>
    <mergeCell ref="E18:F18"/>
    <mergeCell ref="I13:J13"/>
    <mergeCell ref="G13:H13"/>
    <mergeCell ref="G14:H14"/>
    <mergeCell ref="I14:J14"/>
    <mergeCell ref="B13:D13"/>
    <mergeCell ref="B14:D14"/>
    <mergeCell ref="E13:F13"/>
    <mergeCell ref="E14:F14"/>
    <mergeCell ref="I16:J16"/>
    <mergeCell ref="I15:J15"/>
    <mergeCell ref="G15:H15"/>
    <mergeCell ref="B15:D15"/>
    <mergeCell ref="B1:D1"/>
    <mergeCell ref="B2:D2"/>
    <mergeCell ref="B3:D3"/>
    <mergeCell ref="B4:D4"/>
    <mergeCell ref="B5:D5"/>
    <mergeCell ref="A6:G6"/>
    <mergeCell ref="G12:H12"/>
    <mergeCell ref="A9:C10"/>
    <mergeCell ref="D9:D10"/>
    <mergeCell ref="E9:E10"/>
    <mergeCell ref="F9:F10"/>
    <mergeCell ref="G9:G10"/>
    <mergeCell ref="A11:A12"/>
    <mergeCell ref="B11:D12"/>
    <mergeCell ref="E12:F12"/>
    <mergeCell ref="E11:K11"/>
    <mergeCell ref="I12:J12"/>
    <mergeCell ref="G19:H19"/>
    <mergeCell ref="G16:H16"/>
    <mergeCell ref="G17:H17"/>
    <mergeCell ref="I17:J17"/>
    <mergeCell ref="I18:J18"/>
    <mergeCell ref="G18:H18"/>
    <mergeCell ref="A51:A52"/>
    <mergeCell ref="B51:B52"/>
    <mergeCell ref="C51:C52"/>
    <mergeCell ref="D51:D52"/>
    <mergeCell ref="E51:E52"/>
    <mergeCell ref="F51:F52"/>
    <mergeCell ref="G51:G52"/>
    <mergeCell ref="H51:H52"/>
    <mergeCell ref="I51:J51"/>
    <mergeCell ref="K51:L51"/>
    <mergeCell ref="M51:N51"/>
    <mergeCell ref="O51:P51"/>
    <mergeCell ref="I19:J19"/>
    <mergeCell ref="A37:A38"/>
    <mergeCell ref="B37:B38"/>
    <mergeCell ref="C37:C38"/>
    <mergeCell ref="D37:D38"/>
    <mergeCell ref="B19:D19"/>
    <mergeCell ref="A24:A25"/>
    <mergeCell ref="B24:B25"/>
    <mergeCell ref="C24:C25"/>
    <mergeCell ref="D24:D25"/>
    <mergeCell ref="I24:I25"/>
    <mergeCell ref="E19:F19"/>
    <mergeCell ref="N37:O37"/>
    <mergeCell ref="P37:Q37"/>
    <mergeCell ref="L37:M37"/>
    <mergeCell ref="A20:H20"/>
    <mergeCell ref="E37:E38"/>
    <mergeCell ref="J24:J25"/>
    <mergeCell ref="F37:K37"/>
    <mergeCell ref="K24:K25"/>
    <mergeCell ref="E24:E25"/>
    <mergeCell ref="F24:F25"/>
    <mergeCell ref="G24:G25"/>
    <mergeCell ref="H24:H25"/>
  </mergeCells>
  <pageMargins left="0.23622047244094491" right="0.19685039370078741" top="0.39370078740157483" bottom="0.39370078740157483" header="0.19685039370078741" footer="0.19685039370078741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3F8-77D2-47D3-984E-003D5416E2E0}">
  <dimension ref="A1:E11"/>
  <sheetViews>
    <sheetView workbookViewId="0">
      <selection activeCell="D14" sqref="D14"/>
    </sheetView>
  </sheetViews>
  <sheetFormatPr defaultColWidth="13.140625" defaultRowHeight="15.75"/>
  <cols>
    <col min="1" max="1" width="22.42578125" style="36" customWidth="1"/>
    <col min="2" max="3" width="13.140625" style="36"/>
    <col min="4" max="4" width="18.42578125" style="36" customWidth="1"/>
    <col min="5" max="5" width="38" style="36" bestFit="1" customWidth="1"/>
    <col min="6" max="6" width="11.5703125" style="36" bestFit="1" customWidth="1"/>
    <col min="7" max="7" width="7" style="36" bestFit="1" customWidth="1"/>
    <col min="8" max="8" width="16.140625" style="36" bestFit="1" customWidth="1"/>
    <col min="9" max="9" width="14.5703125" style="36" bestFit="1" customWidth="1"/>
    <col min="10" max="10" width="14.28515625" style="36" bestFit="1" customWidth="1"/>
    <col min="11" max="16384" width="13.140625" style="36"/>
  </cols>
  <sheetData>
    <row r="1" spans="1:5">
      <c r="A1" s="34" t="s">
        <v>103</v>
      </c>
      <c r="B1" s="35">
        <v>1</v>
      </c>
    </row>
    <row r="2" spans="1:5">
      <c r="A2" s="34" t="s">
        <v>104</v>
      </c>
      <c r="B2" s="35">
        <v>1</v>
      </c>
    </row>
    <row r="3" spans="1:5">
      <c r="A3" s="34" t="s">
        <v>105</v>
      </c>
      <c r="B3" s="35">
        <v>0</v>
      </c>
    </row>
    <row r="5" spans="1:5">
      <c r="B5" s="34" t="s">
        <v>106</v>
      </c>
      <c r="C5" s="34" t="s">
        <v>107</v>
      </c>
      <c r="D5" s="34" t="s">
        <v>108</v>
      </c>
      <c r="E5" s="34" t="s">
        <v>109</v>
      </c>
    </row>
    <row r="6" spans="1:5">
      <c r="A6" s="34" t="s">
        <v>110</v>
      </c>
      <c r="B6" s="35" t="s">
        <v>141</v>
      </c>
      <c r="C6" s="35" t="s">
        <v>161</v>
      </c>
      <c r="D6" s="35" t="s">
        <v>150</v>
      </c>
      <c r="E6" s="35"/>
    </row>
    <row r="7" spans="1:5">
      <c r="A7" s="34" t="s">
        <v>111</v>
      </c>
      <c r="B7" s="35" t="s">
        <v>141</v>
      </c>
      <c r="C7" s="35" t="s">
        <v>142</v>
      </c>
      <c r="D7" s="35"/>
      <c r="E7" s="35" t="s">
        <v>147</v>
      </c>
    </row>
    <row r="8" spans="1:5">
      <c r="A8" s="34" t="s">
        <v>111</v>
      </c>
      <c r="B8" s="35" t="s">
        <v>143</v>
      </c>
      <c r="C8" s="35" t="s">
        <v>144</v>
      </c>
      <c r="D8" s="35"/>
      <c r="E8" s="35" t="s">
        <v>148</v>
      </c>
    </row>
    <row r="9" spans="1:5">
      <c r="A9" s="34" t="s">
        <v>111</v>
      </c>
      <c r="B9" s="35" t="s">
        <v>145</v>
      </c>
      <c r="C9" s="35" t="s">
        <v>146</v>
      </c>
      <c r="D9" s="35"/>
      <c r="E9" s="35" t="s">
        <v>149</v>
      </c>
    </row>
    <row r="10" spans="1:5">
      <c r="A10" s="34" t="s">
        <v>111</v>
      </c>
      <c r="B10" s="35" t="s">
        <v>157</v>
      </c>
      <c r="C10" s="35" t="s">
        <v>158</v>
      </c>
      <c r="D10" s="35"/>
      <c r="E10" s="35" t="s">
        <v>159</v>
      </c>
    </row>
    <row r="11" spans="1:5">
      <c r="A11" s="34" t="s">
        <v>111</v>
      </c>
      <c r="B11" s="35" t="s">
        <v>160</v>
      </c>
      <c r="C11" s="35" t="s">
        <v>161</v>
      </c>
      <c r="D11" s="35"/>
      <c r="E11" s="35" t="s">
        <v>162</v>
      </c>
    </row>
  </sheetData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2024-09-06T09:21:09Z</dcterms:modified>
</cp:coreProperties>
</file>